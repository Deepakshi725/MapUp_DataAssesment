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iket\MapUp-Data-Assessment-F\submissions\"/>
    </mc:Choice>
  </mc:AlternateContent>
  <xr:revisionPtr revIDLastSave="0" documentId="8_{452849E4-D55D-4F95-B044-46431E3F3177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data">Dataset!$A$2:$X$41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6" i="18"/>
  <c r="C22" i="19"/>
  <c r="H41" i="1"/>
</calcChain>
</file>

<file path=xl/sharedStrings.xml><?xml version="1.0" encoding="utf-8"?>
<sst xmlns="http://schemas.openxmlformats.org/spreadsheetml/2006/main" count="411" uniqueCount="191">
  <si>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</si>
  <si>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</si>
  <si>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</si>
  <si>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</si>
  <si>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</si>
  <si>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</si>
  <si>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</si>
  <si>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</si>
  <si>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</si>
  <si>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</si>
  <si>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</si>
  <si>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</si>
  <si>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</si>
  <si>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</si>
  <si>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</si>
  <si>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</si>
  <si>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</si>
  <si>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</si>
  <si>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</si>
  <si>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</si>
  <si>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</si>
  <si>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</si>
  <si>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</si>
  <si>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</si>
  <si>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</si>
  <si>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</si>
  <si>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</si>
  <si>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</si>
  <si>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</si>
  <si>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</si>
  <si>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</si>
  <si>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</si>
  <si>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</si>
  <si>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</si>
  <si>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</si>
  <si>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</si>
  <si>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</si>
  <si>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</si>
  <si>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</si>
  <si>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</si>
  <si>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</si>
  <si>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</si>
  <si>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</si>
  <si>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</si>
  <si>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</si>
  <si>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</si>
  <si>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</si>
  <si>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</si>
  <si>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</si>
  <si>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</si>
  <si>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</si>
  <si>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</si>
  <si>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</si>
  <si>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</si>
  <si>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</si>
  <si>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</si>
  <si>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</si>
  <si>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</si>
  <si>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</si>
  <si>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</si>
  <si>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</si>
  <si>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</si>
  <si>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</si>
  <si>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</si>
  <si>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</si>
  <si>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</si>
  <si>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</si>
  <si>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</si>
  <si>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</si>
  <si>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</si>
  <si>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</si>
  <si>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</si>
  <si>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</si>
  <si>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</si>
  <si>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</si>
  <si>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</si>
  <si>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</si>
  <si>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</si>
  <si>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</si>
  <si>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</si>
  <si>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</si>
  <si>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</si>
  <si>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</si>
  <si>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</si>
  <si>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</si>
  <si>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</si>
  <si>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</si>
  <si>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</si>
  <si>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</si>
  <si>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</si>
  <si>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</si>
  <si>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</si>
  <si>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</si>
  <si>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</si>
  <si>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</si>
  <si>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</si>
  <si>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</si>
  <si>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</si>
  <si>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</si>
  <si>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</si>
  <si>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</si>
  <si>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</si>
  <si>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</si>
  <si>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</si>
  <si>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</si>
  <si>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</si>
  <si>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</si>
  <si>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</si>
  <si>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</si>
  <si>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</si>
  <si>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</si>
  <si>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</si>
  <si>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</si>
  <si>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</si>
  <si>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</si>
  <si>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</si>
  <si>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</si>
  <si>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</si>
  <si>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</si>
  <si>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</si>
  <si>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</si>
  <si>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</si>
  <si>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</si>
  <si>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</si>
  <si>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</si>
  <si>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</si>
  <si>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</si>
  <si>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</si>
  <si>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</si>
  <si>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</si>
  <si>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</si>
  <si>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</si>
  <si>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</si>
  <si>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</si>
  <si>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</si>
  <si>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</si>
  <si>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</si>
  <si>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</si>
  <si>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</si>
  <si>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</si>
  <si>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</si>
  <si>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</si>
  <si>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</si>
  <si>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</si>
  <si>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</si>
  <si>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</si>
  <si>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</si>
  <si>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</si>
  <si>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</si>
  <si>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</si>
  <si>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</si>
  <si>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</si>
  <si>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</si>
  <si>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</si>
  <si>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</si>
  <si>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</si>
  <si>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</si>
  <si>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</si>
  <si>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</si>
  <si>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</si>
  <si>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</si>
  <si>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</si>
  <si>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</si>
  <si>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</si>
  <si>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</si>
  <si>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</si>
  <si>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</si>
  <si>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</si>
  <si>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</si>
  <si>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</si>
  <si>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</si>
  <si>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</si>
  <si>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</si>
  <si>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</si>
  <si>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</si>
  <si>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</si>
  <si>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SUMIFS(H2:H40, H2:H40, "&gt;20")</t>
  </si>
  <si>
    <t>Remarks</t>
  </si>
  <si>
    <t>Calculated value is highlighted in yellow color</t>
  </si>
  <si>
    <t>Results are displayed in the Dataset Tab</t>
  </si>
  <si>
    <t>Top row has been freezed in the Dataset Tab</t>
  </si>
  <si>
    <t>Freezed</t>
  </si>
  <si>
    <t>using custom options in format cells</t>
  </si>
  <si>
    <t>The date has been successfully changed as per the format requested</t>
  </si>
  <si>
    <t>Text to columns</t>
  </si>
  <si>
    <t>The function is present in Data which uses delimiter "-" to separate all the values into different columns as described</t>
  </si>
  <si>
    <t>All 20 values must be substituted with the value '20'</t>
  </si>
  <si>
    <t>SUM(C12:C21) and Using Replace function to replace all #N/A values with 20</t>
  </si>
  <si>
    <t>The replace function replaces all #N/A with 20 and sum formula sums all the sales values from column C</t>
  </si>
  <si>
    <t>VLOOKUP(VLOOKUP(A23,M10:N18,2,FALSE),A9:J18,MATCH(VLOOKUP(B23,M10:N18,2,FALSE), A9:J9, 0),FALSE)</t>
  </si>
  <si>
    <t>We use VLOOKUP twice for the specified column values name_1 and name_2 which gets the row and column value from Table_B for the table_A which gives us the final value for column "value" in table_c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</si>
</sst>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166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88" zoomScaleNormal="100" workbookViewId="0">
      <pane ySplit="1" topLeftCell="A2" activePane="bottomLeft" state="frozen"/>
      <selection pane="bottomLeft" activeCell="G16" sqref="G1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46">
        <f>SUMIFS(H2:H40, H2:H40, "&gt;20")</f>
        <v>1473.0000000000002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">
    <cfRule type="colorScale" priority="3">
      <colorScale>
        <cfvo type="num" val="-1"/>
        <cfvo type="num" val="0"/>
        <color rgb="FF00B050"/>
        <color rgb="FFFF0000"/>
      </colorScale>
    </cfRule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7" sqref="D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7.6640625" style="1" customWidth="1"/>
    <col min="4" max="4" width="61.2187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D1" s="1" t="s">
        <v>177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D3" s="1" t="s">
        <v>179</v>
      </c>
      <c r="E3" s="1">
        <v>5</v>
      </c>
    </row>
    <row r="4" spans="1:5" x14ac:dyDescent="0.3">
      <c r="A4" s="6">
        <v>2</v>
      </c>
      <c r="B4" s="2" t="s">
        <v>46</v>
      </c>
      <c r="C4" s="2" t="s">
        <v>181</v>
      </c>
      <c r="D4" s="1" t="s">
        <v>180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176</v>
      </c>
      <c r="D5" s="1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182</v>
      </c>
      <c r="D6" s="1" t="s">
        <v>183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2" width="45.33203125" style="2" customWidth="1"/>
    <col min="3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 t="shared" ref="B6:B27" si="0">VLOOKUP(A6,data,7,FALSE)</f>
        <v>2.7</v>
      </c>
      <c r="C6" s="12">
        <f t="shared" ref="C6:C27" si="1">VLOOKUP(A6,data,14,FALSE)</f>
        <v>7.6</v>
      </c>
      <c r="D6" s="12">
        <f t="shared" ref="D6:D27" si="2">VLOOKUP(A6,data,18,FALSE)</f>
        <v>4.2</v>
      </c>
      <c r="E6" s="12">
        <f t="shared" ref="E6:E27" si="3">VLOOKUP(A6,data,20,FALSE)</f>
        <v>8.9</v>
      </c>
      <c r="F6" s="8">
        <f t="shared" ref="F6:F27" si="4">VLOOKUP(A6,data,22,FALSE)</f>
        <v>4.2</v>
      </c>
    </row>
    <row r="7" spans="1:7" ht="14.4" x14ac:dyDescent="0.3">
      <c r="A7" s="7" t="s">
        <v>4</v>
      </c>
      <c r="B7" s="12">
        <f t="shared" si="0"/>
        <v>2.7</v>
      </c>
      <c r="C7" s="12">
        <f t="shared" si="1"/>
        <v>7.6</v>
      </c>
      <c r="D7" s="12">
        <f t="shared" si="2"/>
        <v>4.2</v>
      </c>
      <c r="E7" s="12">
        <f t="shared" si="3"/>
        <v>8.9</v>
      </c>
      <c r="F7" s="8">
        <f t="shared" si="4"/>
        <v>4.2</v>
      </c>
    </row>
    <row r="8" spans="1:7" ht="14.4" x14ac:dyDescent="0.3">
      <c r="A8" s="7" t="s">
        <v>7</v>
      </c>
      <c r="B8" s="12">
        <f t="shared" si="0"/>
        <v>3.6</v>
      </c>
      <c r="C8" s="12">
        <f t="shared" si="1"/>
        <v>11.1</v>
      </c>
      <c r="D8" s="12">
        <f t="shared" si="2"/>
        <v>5.8</v>
      </c>
      <c r="E8" s="12">
        <f t="shared" si="3"/>
        <v>12.2</v>
      </c>
      <c r="F8" s="8">
        <f t="shared" si="4"/>
        <v>5.8</v>
      </c>
    </row>
    <row r="9" spans="1:7" ht="14.4" x14ac:dyDescent="0.3">
      <c r="A9" s="7" t="s">
        <v>8</v>
      </c>
      <c r="B9" s="12">
        <f t="shared" si="0"/>
        <v>4.9000000000000004</v>
      </c>
      <c r="C9" s="12">
        <f t="shared" si="1"/>
        <v>13.3</v>
      </c>
      <c r="D9" s="12">
        <f t="shared" si="2"/>
        <v>8.1</v>
      </c>
      <c r="E9" s="12">
        <f t="shared" si="3"/>
        <v>17</v>
      </c>
      <c r="F9" s="8">
        <f t="shared" si="4"/>
        <v>8.1</v>
      </c>
    </row>
    <row r="10" spans="1:7" ht="14.4" x14ac:dyDescent="0.3">
      <c r="A10" s="7" t="s">
        <v>11</v>
      </c>
      <c r="B10" s="12">
        <f t="shared" si="0"/>
        <v>9.4</v>
      </c>
      <c r="C10" s="12">
        <f t="shared" si="1"/>
        <v>28.3</v>
      </c>
      <c r="D10" s="12">
        <f t="shared" si="2"/>
        <v>16.100000000000001</v>
      </c>
      <c r="E10" s="12">
        <f t="shared" si="3"/>
        <v>32.799999999999997</v>
      </c>
      <c r="F10" s="8">
        <f t="shared" si="4"/>
        <v>16.100000000000001</v>
      </c>
    </row>
    <row r="11" spans="1:7" ht="14.4" x14ac:dyDescent="0.3">
      <c r="A11" s="7" t="s">
        <v>12</v>
      </c>
      <c r="B11" s="12">
        <f t="shared" si="0"/>
        <v>11.6</v>
      </c>
      <c r="C11" s="12">
        <f t="shared" si="1"/>
        <v>35.200000000000003</v>
      </c>
      <c r="D11" s="12">
        <f t="shared" si="2"/>
        <v>21.3</v>
      </c>
      <c r="E11" s="12">
        <f t="shared" si="3"/>
        <v>43</v>
      </c>
      <c r="F11" s="8">
        <f t="shared" si="4"/>
        <v>21.3</v>
      </c>
    </row>
    <row r="12" spans="1:7" ht="14.4" x14ac:dyDescent="0.3">
      <c r="A12" s="7" t="s">
        <v>14</v>
      </c>
      <c r="B12" s="12">
        <f t="shared" si="0"/>
        <v>18.399999999999999</v>
      </c>
      <c r="C12" s="12">
        <f t="shared" si="1"/>
        <v>55.6</v>
      </c>
      <c r="D12" s="12">
        <f t="shared" si="2"/>
        <v>33.799999999999997</v>
      </c>
      <c r="E12" s="12">
        <f t="shared" si="3"/>
        <v>67.900000000000006</v>
      </c>
      <c r="F12" s="8">
        <f t="shared" si="4"/>
        <v>33.799999999999997</v>
      </c>
    </row>
    <row r="13" spans="1:7" ht="14.4" x14ac:dyDescent="0.3">
      <c r="A13" s="7" t="s">
        <v>15</v>
      </c>
      <c r="B13" s="12">
        <f t="shared" si="0"/>
        <v>0</v>
      </c>
      <c r="C13" s="12">
        <f t="shared" si="1"/>
        <v>0</v>
      </c>
      <c r="D13" s="12">
        <f t="shared" si="2"/>
        <v>0</v>
      </c>
      <c r="E13" s="12">
        <f t="shared" si="3"/>
        <v>0</v>
      </c>
      <c r="F13" s="8">
        <f t="shared" si="4"/>
        <v>0</v>
      </c>
    </row>
    <row r="14" spans="1:7" ht="14.4" x14ac:dyDescent="0.3">
      <c r="A14" s="7" t="s">
        <v>16</v>
      </c>
      <c r="B14" s="12">
        <f t="shared" si="0"/>
        <v>21.9</v>
      </c>
      <c r="C14" s="12">
        <f t="shared" si="1"/>
        <v>61.5</v>
      </c>
      <c r="D14" s="12">
        <f t="shared" si="2"/>
        <v>40.1</v>
      </c>
      <c r="E14" s="12">
        <f t="shared" si="3"/>
        <v>76.599999999999994</v>
      </c>
      <c r="F14" s="8">
        <f t="shared" si="4"/>
        <v>40.1</v>
      </c>
    </row>
    <row r="15" spans="1:7" ht="14.4" x14ac:dyDescent="0.3">
      <c r="A15" s="7" t="s">
        <v>18</v>
      </c>
      <c r="B15" s="12">
        <f t="shared" si="0"/>
        <v>26.8</v>
      </c>
      <c r="C15" s="12">
        <f t="shared" si="1"/>
        <v>79.599999999999994</v>
      </c>
      <c r="D15" s="12">
        <f t="shared" si="2"/>
        <v>47.9</v>
      </c>
      <c r="E15" s="12">
        <f t="shared" si="3"/>
        <v>96.8</v>
      </c>
      <c r="F15" s="8">
        <f t="shared" si="4"/>
        <v>47.9</v>
      </c>
    </row>
    <row r="16" spans="1:7" ht="14.4" x14ac:dyDescent="0.3">
      <c r="A16" s="7" t="s">
        <v>20</v>
      </c>
      <c r="B16" s="12">
        <f t="shared" si="0"/>
        <v>28.5</v>
      </c>
      <c r="C16" s="12">
        <f t="shared" si="1"/>
        <v>85.4</v>
      </c>
      <c r="D16" s="12">
        <f t="shared" si="2"/>
        <v>52.3</v>
      </c>
      <c r="E16" s="12">
        <f t="shared" si="3"/>
        <v>106.1</v>
      </c>
      <c r="F16" s="8">
        <f t="shared" si="4"/>
        <v>52.3</v>
      </c>
    </row>
    <row r="17" spans="1:6" ht="14.4" x14ac:dyDescent="0.3">
      <c r="A17" s="7" t="s">
        <v>22</v>
      </c>
      <c r="B17" s="12">
        <f t="shared" si="0"/>
        <v>30.7</v>
      </c>
      <c r="C17" s="12">
        <f t="shared" si="1"/>
        <v>92.1</v>
      </c>
      <c r="D17" s="12">
        <f t="shared" si="2"/>
        <v>57</v>
      </c>
      <c r="E17" s="12">
        <f t="shared" si="3"/>
        <v>115.1</v>
      </c>
      <c r="F17" s="8">
        <f t="shared" si="4"/>
        <v>57</v>
      </c>
    </row>
    <row r="18" spans="1:6" ht="14.4" x14ac:dyDescent="0.3">
      <c r="A18" s="7" t="s">
        <v>23</v>
      </c>
      <c r="B18" s="12">
        <f t="shared" si="0"/>
        <v>33.799999999999997</v>
      </c>
      <c r="C18" s="12">
        <f t="shared" si="1"/>
        <v>101.3</v>
      </c>
      <c r="D18" s="12">
        <f t="shared" si="2"/>
        <v>61.4</v>
      </c>
      <c r="E18" s="12">
        <f t="shared" si="3"/>
        <v>124.4</v>
      </c>
      <c r="F18" s="8">
        <f t="shared" si="4"/>
        <v>61.4</v>
      </c>
    </row>
    <row r="19" spans="1:6" ht="14.4" x14ac:dyDescent="0.3">
      <c r="A19" s="7" t="s">
        <v>24</v>
      </c>
      <c r="B19" s="12">
        <f t="shared" si="0"/>
        <v>34.700000000000003</v>
      </c>
      <c r="C19" s="12">
        <f t="shared" si="1"/>
        <v>106.1</v>
      </c>
      <c r="D19" s="12">
        <f t="shared" si="2"/>
        <v>63.6</v>
      </c>
      <c r="E19" s="12">
        <f t="shared" si="3"/>
        <v>128.6</v>
      </c>
      <c r="F19" s="8">
        <f t="shared" si="4"/>
        <v>63.6</v>
      </c>
    </row>
    <row r="20" spans="1:6" ht="14.4" x14ac:dyDescent="0.3">
      <c r="A20" s="7" t="s">
        <v>28</v>
      </c>
      <c r="B20" s="12">
        <f t="shared" si="0"/>
        <v>0</v>
      </c>
      <c r="C20" s="12">
        <f t="shared" si="1"/>
        <v>0</v>
      </c>
      <c r="D20" s="12">
        <f t="shared" si="2"/>
        <v>0</v>
      </c>
      <c r="E20" s="12">
        <f t="shared" si="3"/>
        <v>0</v>
      </c>
      <c r="F20" s="8">
        <f t="shared" si="4"/>
        <v>0</v>
      </c>
    </row>
    <row r="21" spans="1:6" ht="14.4" x14ac:dyDescent="0.3">
      <c r="A21" s="7" t="s">
        <v>57</v>
      </c>
      <c r="B21" s="12">
        <f t="shared" si="0"/>
        <v>41.3</v>
      </c>
      <c r="C21" s="12">
        <f t="shared" si="1"/>
        <v>124.4</v>
      </c>
      <c r="D21" s="12">
        <f t="shared" si="2"/>
        <v>75</v>
      </c>
      <c r="E21" s="12">
        <f t="shared" si="3"/>
        <v>151.5</v>
      </c>
      <c r="F21" s="8">
        <f t="shared" si="4"/>
        <v>75</v>
      </c>
    </row>
    <row r="22" spans="1:6" ht="14.4" x14ac:dyDescent="0.3">
      <c r="A22" s="7" t="s">
        <v>58</v>
      </c>
      <c r="B22" s="12">
        <f t="shared" si="0"/>
        <v>-1</v>
      </c>
      <c r="C22" s="12">
        <f t="shared" si="1"/>
        <v>-1</v>
      </c>
      <c r="D22" s="12">
        <f t="shared" si="2"/>
        <v>-1</v>
      </c>
      <c r="E22" s="12">
        <f t="shared" si="3"/>
        <v>-1</v>
      </c>
      <c r="F22" s="8">
        <f t="shared" si="4"/>
        <v>-1</v>
      </c>
    </row>
    <row r="23" spans="1:6" ht="14.4" x14ac:dyDescent="0.3">
      <c r="A23" s="7" t="s">
        <v>31</v>
      </c>
      <c r="B23" s="12">
        <f t="shared" si="0"/>
        <v>45</v>
      </c>
      <c r="C23" s="12">
        <f t="shared" si="1"/>
        <v>133.4</v>
      </c>
      <c r="D23" s="12">
        <f t="shared" si="2"/>
        <v>79.400000000000006</v>
      </c>
      <c r="E23" s="12">
        <f t="shared" si="3"/>
        <v>160.9</v>
      </c>
      <c r="F23" s="8">
        <f t="shared" si="4"/>
        <v>79.400000000000006</v>
      </c>
    </row>
    <row r="24" spans="1:6" ht="14.4" x14ac:dyDescent="0.3">
      <c r="A24" s="7" t="s">
        <v>32</v>
      </c>
      <c r="B24" s="12">
        <f t="shared" si="0"/>
        <v>-1</v>
      </c>
      <c r="C24" s="12">
        <f t="shared" si="1"/>
        <v>-1</v>
      </c>
      <c r="D24" s="12">
        <f t="shared" si="2"/>
        <v>-1</v>
      </c>
      <c r="E24" s="12">
        <f t="shared" si="3"/>
        <v>-1</v>
      </c>
      <c r="F24" s="8">
        <f t="shared" si="4"/>
        <v>-1</v>
      </c>
    </row>
    <row r="25" spans="1:6" ht="14.4" x14ac:dyDescent="0.3">
      <c r="A25" s="7" t="s">
        <v>34</v>
      </c>
      <c r="B25" s="12">
        <f t="shared" si="0"/>
        <v>43.3</v>
      </c>
      <c r="C25" s="12">
        <f t="shared" si="1"/>
        <v>128.6</v>
      </c>
      <c r="D25" s="12">
        <f t="shared" si="2"/>
        <v>79.400000000000006</v>
      </c>
      <c r="E25" s="12">
        <f t="shared" si="3"/>
        <v>160.9</v>
      </c>
      <c r="F25" s="8">
        <f t="shared" si="4"/>
        <v>79.400000000000006</v>
      </c>
    </row>
    <row r="26" spans="1:6" ht="14.4" x14ac:dyDescent="0.3">
      <c r="A26" s="7" t="s">
        <v>37</v>
      </c>
      <c r="B26" s="12">
        <f t="shared" si="0"/>
        <v>49.1</v>
      </c>
      <c r="C26" s="12">
        <f t="shared" si="1"/>
        <v>146.80000000000001</v>
      </c>
      <c r="D26" s="12">
        <f t="shared" si="2"/>
        <v>90.9</v>
      </c>
      <c r="E26" s="12">
        <f t="shared" si="3"/>
        <v>183.5</v>
      </c>
      <c r="F26" s="8">
        <f t="shared" si="4"/>
        <v>90.9</v>
      </c>
    </row>
    <row r="27" spans="1:6" ht="14.4" x14ac:dyDescent="0.3">
      <c r="A27" s="7" t="s">
        <v>39</v>
      </c>
      <c r="B27" s="12">
        <f t="shared" si="0"/>
        <v>51.8</v>
      </c>
      <c r="C27" s="12">
        <f t="shared" si="1"/>
        <v>156.4</v>
      </c>
      <c r="D27" s="12">
        <f t="shared" si="2"/>
        <v>93.1</v>
      </c>
      <c r="E27" s="12">
        <f t="shared" si="3"/>
        <v>188.1</v>
      </c>
      <c r="F27" s="8">
        <f t="shared" si="4"/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3"/>
  <sheetViews>
    <sheetView zoomScaleNormal="100" workbookViewId="0">
      <selection activeCell="B9" sqref="B9"/>
    </sheetView>
  </sheetViews>
  <sheetFormatPr defaultColWidth="11" defaultRowHeight="14.4" x14ac:dyDescent="0.3"/>
  <cols>
    <col min="1" max="1" width="39.77734375" style="1" bestFit="1" customWidth="1"/>
    <col min="2" max="2" width="24.109375" style="1" customWidth="1"/>
    <col min="3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184</v>
      </c>
    </row>
    <row r="6" spans="1:10" ht="18" x14ac:dyDescent="0.35">
      <c r="A6" s="43" t="s">
        <v>153</v>
      </c>
      <c r="B6" s="40" t="s">
        <v>185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20002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20004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20006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20008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20010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20012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20014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20016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20018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20020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20022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20024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20026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20028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20030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20032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20034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20036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20038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20040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20042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20044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20046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20048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20050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20052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20054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20058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20060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112</v>
      </c>
      <c r="B45" s="12">
        <v>21000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21002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21004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21006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21008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21010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21012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21014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9" t="s">
        <v>120</v>
      </c>
      <c r="B53" s="13">
        <v>21016</v>
      </c>
      <c r="C53" s="10" t="s">
        <v>5</v>
      </c>
      <c r="D53" s="13">
        <v>0</v>
      </c>
      <c r="E53" s="10" t="s">
        <v>6</v>
      </c>
      <c r="F53" s="13"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22" sqref="D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5.21875" style="2" customWidth="1"/>
    <col min="4" max="4" width="13.21875" style="2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85</v>
      </c>
      <c r="B1" s="41" t="s">
        <v>166</v>
      </c>
    </row>
    <row r="2" spans="1:4" ht="18" x14ac:dyDescent="0.35">
      <c r="B2" s="40" t="s">
        <v>186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187</v>
      </c>
    </row>
    <row r="7" spans="1:4" ht="14.4" x14ac:dyDescent="0.3">
      <c r="A7" s="3" t="s">
        <v>153</v>
      </c>
      <c r="B7" s="1" t="s">
        <v>188</v>
      </c>
    </row>
    <row r="10" spans="1:4" ht="23.4" x14ac:dyDescent="0.45">
      <c r="A10" s="18" t="s">
        <v>162</v>
      </c>
    </row>
    <row r="11" spans="1:4" ht="14.4" x14ac:dyDescent="0.3">
      <c r="A11" s="32" t="s">
        <v>86</v>
      </c>
      <c r="B11" s="17" t="s">
        <v>87</v>
      </c>
      <c r="C11" s="17" t="s">
        <v>88</v>
      </c>
    </row>
    <row r="12" spans="1:4" ht="14.4" x14ac:dyDescent="0.3">
      <c r="A12" s="32">
        <v>44927</v>
      </c>
      <c r="B12" s="17" t="s">
        <v>59</v>
      </c>
      <c r="C12" s="17">
        <v>200</v>
      </c>
      <c r="D12" s="48"/>
    </row>
    <row r="13" spans="1:4" ht="14.4" x14ac:dyDescent="0.3">
      <c r="A13" s="32">
        <v>44928</v>
      </c>
      <c r="B13" s="17" t="s">
        <v>60</v>
      </c>
      <c r="C13" s="17">
        <v>20</v>
      </c>
      <c r="D13" s="48"/>
    </row>
    <row r="14" spans="1:4" ht="14.4" x14ac:dyDescent="0.3">
      <c r="A14" s="32">
        <v>44929</v>
      </c>
      <c r="B14" s="17" t="s">
        <v>61</v>
      </c>
      <c r="C14" s="17">
        <v>50</v>
      </c>
      <c r="D14" s="48"/>
    </row>
    <row r="15" spans="1:4" ht="14.4" x14ac:dyDescent="0.3">
      <c r="A15" s="32">
        <v>44930</v>
      </c>
      <c r="B15" s="17" t="s">
        <v>62</v>
      </c>
      <c r="C15" s="17">
        <v>20</v>
      </c>
      <c r="D15" s="48"/>
    </row>
    <row r="16" spans="1:4" ht="14.4" x14ac:dyDescent="0.3">
      <c r="A16" s="32">
        <v>44931</v>
      </c>
      <c r="B16" s="17" t="s">
        <v>63</v>
      </c>
      <c r="C16" s="17">
        <v>10</v>
      </c>
      <c r="D16" s="48"/>
    </row>
    <row r="17" spans="1:4" ht="14.4" x14ac:dyDescent="0.3">
      <c r="A17" s="32">
        <v>44932</v>
      </c>
      <c r="B17" s="17" t="s">
        <v>154</v>
      </c>
      <c r="C17" s="17">
        <v>150</v>
      </c>
      <c r="D17" s="48"/>
    </row>
    <row r="18" spans="1:4" ht="14.4" x14ac:dyDescent="0.3">
      <c r="A18" s="32">
        <v>44933</v>
      </c>
      <c r="B18" s="17" t="s">
        <v>155</v>
      </c>
      <c r="C18" s="17">
        <v>80</v>
      </c>
      <c r="D18" s="48"/>
    </row>
    <row r="19" spans="1:4" ht="14.4" x14ac:dyDescent="0.3">
      <c r="A19" s="32">
        <v>44934</v>
      </c>
      <c r="B19" s="17" t="s">
        <v>156</v>
      </c>
      <c r="C19" s="17">
        <v>20</v>
      </c>
      <c r="D19" s="48"/>
    </row>
    <row r="20" spans="1:4" ht="14.4" x14ac:dyDescent="0.3">
      <c r="A20" s="32">
        <v>44935</v>
      </c>
      <c r="B20" s="17" t="s">
        <v>157</v>
      </c>
      <c r="C20" s="17">
        <v>30</v>
      </c>
      <c r="D20" s="48"/>
    </row>
    <row r="21" spans="1:4" ht="14.4" x14ac:dyDescent="0.3">
      <c r="A21" s="32">
        <v>44936</v>
      </c>
      <c r="B21" s="17" t="s">
        <v>158</v>
      </c>
      <c r="C21" s="17">
        <v>20</v>
      </c>
      <c r="D21" s="48"/>
    </row>
    <row r="22" spans="1:4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21" sqref="K21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13.77734375" style="2" customWidth="1"/>
    <col min="4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 t="s">
        <v>189</v>
      </c>
    </row>
    <row r="5" spans="1:14" ht="18" x14ac:dyDescent="0.35">
      <c r="A5" s="43" t="s">
        <v>153</v>
      </c>
      <c r="B5" s="1" t="s">
        <v>190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VLOOKUP(VLOOKUP(A23,M10:N18,2,FALSE),A9:J18,MATCH(VLOOKUP(B23,M10:N18,2,FALSE), A9:J9, 0),FALSE)</f>
        <v>95</v>
      </c>
    </row>
    <row r="24" spans="1:14" ht="14.4" x14ac:dyDescent="0.3">
      <c r="A24" s="7">
        <v>10100</v>
      </c>
      <c r="B24" s="12">
        <v>10104</v>
      </c>
      <c r="C24" s="44">
        <f>VLOOKUP(VLOOKUP(A24,M10:N18,2,FALSE),A9:J18,MATCH(VLOOKUP(B24,M11:N19,2,FALSE), A9:J9, 0),FALSE)</f>
        <v>-1</v>
      </c>
    </row>
    <row r="25" spans="1:14" ht="14.4" x14ac:dyDescent="0.3">
      <c r="A25" s="7">
        <v>10108</v>
      </c>
      <c r="B25" s="12">
        <v>10102</v>
      </c>
      <c r="C25" s="44">
        <f>VLOOKUP(VLOOKUP(A25,M10:N18,2,FALSE),A9:J18,MATCH(VLOOKUP(B25,M11:N19,2,FALSE), A9:J9, 0),FALSE)</f>
        <v>160</v>
      </c>
    </row>
    <row r="26" spans="1:14" ht="14.4" x14ac:dyDescent="0.3">
      <c r="A26" s="7">
        <v>10100</v>
      </c>
      <c r="B26" s="12">
        <v>10106</v>
      </c>
      <c r="C26" s="44">
        <f>VLOOKUP(VLOOKUP(A26,M10:N18,2,FALSE),A9:J18,MATCH(VLOOKUP(B26,M11:N19,2,FALSE), A9:J9, 0),FALSE)</f>
        <v>185</v>
      </c>
    </row>
    <row r="27" spans="1:14" ht="14.4" x14ac:dyDescent="0.3">
      <c r="A27" s="7">
        <v>10108</v>
      </c>
      <c r="B27" s="12">
        <v>10110</v>
      </c>
      <c r="C27" s="44">
        <f>VLOOKUP(VLOOKUP(A27,M10:N18,2,FALSE),A9:J18,MATCH(VLOOKUP(B27,M11:N19,2,FALSE), A9:J9, 0),FALSE)</f>
        <v>50</v>
      </c>
    </row>
    <row r="28" spans="1:14" ht="14.4" x14ac:dyDescent="0.3">
      <c r="A28" s="7">
        <v>10102</v>
      </c>
      <c r="B28" s="12">
        <v>10104</v>
      </c>
      <c r="C28" s="44">
        <f>VLOOKUP(VLOOKUP(A28,M10:N18,2,FALSE),A9:J18,MATCH(VLOOKUP(B28,M11:N19,2,FALSE), A9:J9, 0),FALSE)</f>
        <v>-1</v>
      </c>
    </row>
    <row r="29" spans="1:14" ht="14.4" x14ac:dyDescent="0.3">
      <c r="A29" s="7">
        <v>10106</v>
      </c>
      <c r="B29" s="12">
        <v>10108</v>
      </c>
      <c r="C29" s="44">
        <f>VLOOKUP(VLOOKUP(A29,M10:N18,2,FALSE),A9:J18,MATCH(VLOOKUP(B29,M11:N19,2,FALSE), A9:J9, 0),FALSE)</f>
        <v>70</v>
      </c>
    </row>
    <row r="30" spans="1:14" ht="14.4" x14ac:dyDescent="0.3">
      <c r="A30" s="7">
        <v>10102</v>
      </c>
      <c r="B30" s="12">
        <v>10106</v>
      </c>
      <c r="C30" s="44">
        <f>VLOOKUP(VLOOKUP(A30,M10:N18,2,FALSE),A9:J18,MATCH(VLOOKUP(B30,M11:N19,2,FALSE), A9:J9, 0),FALSE)</f>
        <v>90</v>
      </c>
    </row>
    <row r="31" spans="1:14" ht="14.4" x14ac:dyDescent="0.3">
      <c r="A31" s="7">
        <v>10110</v>
      </c>
      <c r="B31" s="12">
        <v>10114</v>
      </c>
      <c r="C31" s="44">
        <f>VLOOKUP(VLOOKUP(A31,M10:N18,2,FALSE),A9:J18,MATCH(VLOOKUP(B31,M11:N19,2,FALSE), A9:J9, 0),FALSE)</f>
        <v>180</v>
      </c>
    </row>
    <row r="32" spans="1:14" ht="14.4" x14ac:dyDescent="0.3">
      <c r="A32" s="7">
        <v>10104</v>
      </c>
      <c r="B32" s="12">
        <v>10106</v>
      </c>
      <c r="C32" s="44">
        <f>VLOOKUP(VLOOKUP(A32,M10:N18,2,FALSE),A9:J18,MATCH(VLOOKUP(B32,M11:N19,2,FALSE), A9:J9, 0),FALSE)</f>
        <v>60</v>
      </c>
    </row>
    <row r="33" spans="1:3" ht="14.4" x14ac:dyDescent="0.3">
      <c r="A33" s="7">
        <v>10110</v>
      </c>
      <c r="B33" s="12">
        <v>10112</v>
      </c>
      <c r="C33" s="44">
        <f>VLOOKUP(VLOOKUP(A33,M10:N18,2,FALSE),A9:J18,MATCH(VLOOKUP(B33,M11:N19,2,FALSE), A9:J9, 0),FALSE)</f>
        <v>115</v>
      </c>
    </row>
    <row r="34" spans="1:3" ht="14.4" x14ac:dyDescent="0.3">
      <c r="A34" s="7">
        <v>10100</v>
      </c>
      <c r="B34" s="12">
        <v>10114</v>
      </c>
      <c r="C34" s="44">
        <f>VLOOKUP(VLOOKUP(A34,M10:N18,2,FALSE),A9:J18,MATCH(VLOOKUP(B34,M11:N19,2,FALSE), A9:J9, 0),FALSE)</f>
        <v>480</v>
      </c>
    </row>
    <row r="35" spans="1:3" ht="14.4" x14ac:dyDescent="0.3">
      <c r="A35" s="9">
        <v>10112</v>
      </c>
      <c r="B35" s="13">
        <v>10116</v>
      </c>
      <c r="C35" s="45">
        <f>VLOOKUP(VLOOKUP(A35,M10:N18,2,FALSE),A9:J18,MATCH(VLOOKUP(B35,M11:N19,2,FALSE), A9:J9, 0),FALSE)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Aniket Shinde</cp:lastModifiedBy>
  <dcterms:created xsi:type="dcterms:W3CDTF">2015-02-10T17:33:11Z</dcterms:created>
  <dcterms:modified xsi:type="dcterms:W3CDTF">2023-12-09T18:17:26Z</dcterms:modified>
</cp:coreProperties>
</file>